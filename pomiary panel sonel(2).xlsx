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puter\Desktop\PCI grant\moje zdjecia termo\"/>
    </mc:Choice>
  </mc:AlternateContent>
  <xr:revisionPtr revIDLastSave="0" documentId="13_ncr:1_{A0539F05-0AA8-46D9-A88A-6E3336E7BF80}" xr6:coauthVersionLast="36" xr6:coauthVersionMax="36" xr10:uidLastSave="{00000000-0000-0000-0000-000000000000}"/>
  <bookViews>
    <workbookView xWindow="5580" yWindow="0" windowWidth="21924" windowHeight="9072" xr2:uid="{591AEC38-1721-408B-B6FD-EE3FCA4A71E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2" i="1" l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51" i="1"/>
  <c r="L51" i="1" s="1"/>
</calcChain>
</file>

<file path=xl/sharedStrings.xml><?xml version="1.0" encoding="utf-8"?>
<sst xmlns="http://schemas.openxmlformats.org/spreadsheetml/2006/main" count="74" uniqueCount="56">
  <si>
    <t>l.p.</t>
  </si>
  <si>
    <t>nasłoniecznienie</t>
  </si>
  <si>
    <t>temperatura</t>
  </si>
  <si>
    <t>napięcie</t>
  </si>
  <si>
    <t>prąd zwarcia</t>
  </si>
  <si>
    <t>Ic STC</t>
  </si>
  <si>
    <t>uwagi</t>
  </si>
  <si>
    <t>zasłonięty moduł</t>
  </si>
  <si>
    <t>bez cienia</t>
  </si>
  <si>
    <t>zasłonięte 2 moduły</t>
  </si>
  <si>
    <t>na trawie nowa seria</t>
  </si>
  <si>
    <t>piasek</t>
  </si>
  <si>
    <t>piasek inaczej + foto</t>
  </si>
  <si>
    <t>kupka piasku</t>
  </si>
  <si>
    <t>Napięcie</t>
  </si>
  <si>
    <t>Prąd zwarcia</t>
  </si>
  <si>
    <t>po skosie, zabrudzenie natural foto</t>
  </si>
  <si>
    <t>jw. Czysty z kropelkami, po myciu</t>
  </si>
  <si>
    <t>suchy</t>
  </si>
  <si>
    <t>mgiełka wody nad nim</t>
  </si>
  <si>
    <t>popiół</t>
  </si>
  <si>
    <t>popiół częściowy, foto</t>
  </si>
  <si>
    <t>pół mniej piasku</t>
  </si>
  <si>
    <t>mało, resztka po myciu, foto</t>
  </si>
  <si>
    <t>inne, mało piasku</t>
  </si>
  <si>
    <t>symulacja małych odchodów, foto</t>
  </si>
  <si>
    <t>symulacja dużych odchodów, foto</t>
  </si>
  <si>
    <t>rozlane jw.</t>
  </si>
  <si>
    <t>dużo ziemi czarnej</t>
  </si>
  <si>
    <t>mniej ziemi, foto</t>
  </si>
  <si>
    <t>pojedyncze zanieczyszczenia ziemią</t>
  </si>
  <si>
    <t>inne zanieczyszczenia ziemią, foto</t>
  </si>
  <si>
    <t>inne ziemią</t>
  </si>
  <si>
    <t>piasek 50g/m2</t>
  </si>
  <si>
    <t>piasek 75g/m2</t>
  </si>
  <si>
    <t xml:space="preserve">czysty kontrolnie </t>
  </si>
  <si>
    <t>z cieniem, czysty jw.</t>
  </si>
  <si>
    <t>MOC</t>
  </si>
  <si>
    <t>MOC z uwzględnieniem nasłonecznienia</t>
  </si>
  <si>
    <t xml:space="preserve">leżący na trawie, a czujnik optymalnie </t>
  </si>
  <si>
    <t>Power [kWh]</t>
  </si>
  <si>
    <t>opis</t>
  </si>
  <si>
    <t xml:space="preserve">pod kątem 30 st </t>
  </si>
  <si>
    <t>zabrudzenie naturalne</t>
  </si>
  <si>
    <t>czysty, suchy</t>
  </si>
  <si>
    <t>popiół częściowy</t>
  </si>
  <si>
    <t>mała ilość piasku</t>
  </si>
  <si>
    <t>duża ilość piasku</t>
  </si>
  <si>
    <t>resztka piasku po deszczu</t>
  </si>
  <si>
    <t>zapylenie gliną</t>
  </si>
  <si>
    <t>symulacja małych odchodów</t>
  </si>
  <si>
    <t>symulacja dużych odchodów</t>
  </si>
  <si>
    <t>mała ilość czarnoziemu</t>
  </si>
  <si>
    <t>Czysty, zacieniony punktowo</t>
  </si>
  <si>
    <t>zysty z kropelkami, po myciu</t>
  </si>
  <si>
    <t>mgiełka wody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</si>
</sst>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Arkusz1!$D$9</c:f>
              <c:strCache>
                <c:ptCount val="1"/>
                <c:pt idx="0">
                  <c:v>Napięcie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Arkusz1!$B$10:$B$37</c:f>
              <c:numCache>
                <c:formatCode>General</c:formatCode>
                <c:ptCount val="28"/>
                <c:pt idx="0">
                  <c:v>187</c:v>
                </c:pt>
                <c:pt idx="1">
                  <c:v>224</c:v>
                </c:pt>
                <c:pt idx="2">
                  <c:v>275</c:v>
                </c:pt>
                <c:pt idx="3">
                  <c:v>275</c:v>
                </c:pt>
                <c:pt idx="4">
                  <c:v>293</c:v>
                </c:pt>
                <c:pt idx="5">
                  <c:v>310</c:v>
                </c:pt>
                <c:pt idx="6">
                  <c:v>313</c:v>
                </c:pt>
                <c:pt idx="7">
                  <c:v>331</c:v>
                </c:pt>
                <c:pt idx="8">
                  <c:v>331</c:v>
                </c:pt>
                <c:pt idx="9">
                  <c:v>341</c:v>
                </c:pt>
                <c:pt idx="10">
                  <c:v>348</c:v>
                </c:pt>
                <c:pt idx="11">
                  <c:v>357</c:v>
                </c:pt>
                <c:pt idx="12">
                  <c:v>365</c:v>
                </c:pt>
                <c:pt idx="13">
                  <c:v>442</c:v>
                </c:pt>
                <c:pt idx="14">
                  <c:v>447</c:v>
                </c:pt>
                <c:pt idx="15">
                  <c:v>456</c:v>
                </c:pt>
                <c:pt idx="16">
                  <c:v>502</c:v>
                </c:pt>
                <c:pt idx="17">
                  <c:v>564</c:v>
                </c:pt>
                <c:pt idx="18">
                  <c:v>566</c:v>
                </c:pt>
                <c:pt idx="19">
                  <c:v>594</c:v>
                </c:pt>
                <c:pt idx="20">
                  <c:v>607</c:v>
                </c:pt>
                <c:pt idx="21">
                  <c:v>638</c:v>
                </c:pt>
                <c:pt idx="22">
                  <c:v>639</c:v>
                </c:pt>
                <c:pt idx="23">
                  <c:v>647</c:v>
                </c:pt>
                <c:pt idx="24">
                  <c:v>651</c:v>
                </c:pt>
                <c:pt idx="25">
                  <c:v>663</c:v>
                </c:pt>
                <c:pt idx="26">
                  <c:v>722</c:v>
                </c:pt>
                <c:pt idx="27">
                  <c:v>988</c:v>
                </c:pt>
              </c:numCache>
            </c:numRef>
          </c:cat>
          <c:val>
            <c:numRef>
              <c:f>Arkusz1!$D$10:$D$37</c:f>
              <c:numCache>
                <c:formatCode>General</c:formatCode>
                <c:ptCount val="28"/>
                <c:pt idx="1">
                  <c:v>37.6</c:v>
                </c:pt>
                <c:pt idx="4">
                  <c:v>38.4</c:v>
                </c:pt>
                <c:pt idx="7">
                  <c:v>38.200000000000003</c:v>
                </c:pt>
                <c:pt idx="8">
                  <c:v>38</c:v>
                </c:pt>
                <c:pt idx="9">
                  <c:v>38.200000000000003</c:v>
                </c:pt>
                <c:pt idx="10">
                  <c:v>38</c:v>
                </c:pt>
                <c:pt idx="15">
                  <c:v>38.9</c:v>
                </c:pt>
                <c:pt idx="17">
                  <c:v>39.1</c:v>
                </c:pt>
                <c:pt idx="18">
                  <c:v>39.4</c:v>
                </c:pt>
                <c:pt idx="19">
                  <c:v>39.4</c:v>
                </c:pt>
                <c:pt idx="21">
                  <c:v>39.299999999999997</c:v>
                </c:pt>
                <c:pt idx="24">
                  <c:v>39.5</c:v>
                </c:pt>
                <c:pt idx="25">
                  <c:v>39.1</c:v>
                </c:pt>
                <c:pt idx="27">
                  <c:v>39.299999999999997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0F1-4DCE-9554-187FD6A29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81456"/>
        <c:axId val="1471625776"/>
      </c:lineChart>
      <c:catAx>
        <c:axId val="142678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1625776"/>
        <c:crosses val="autoZero"/>
        <c:auto val="1"/>
        <c:lblAlgn val="ctr"/>
        <c:lblOffset val="100"/>
        <c:noMultiLvlLbl val="0"/>
      </c:catAx>
      <c:valAx>
        <c:axId val="14716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2678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Arkusz1!$E$10:$E$37</c:f>
              <c:strCache>
                <c:ptCount val="28"/>
                <c:pt idx="0">
                  <c:v>1,92</c:v>
                </c:pt>
                <c:pt idx="2">
                  <c:v>1,94</c:v>
                </c:pt>
                <c:pt idx="3">
                  <c:v>2,62</c:v>
                </c:pt>
                <c:pt idx="5">
                  <c:v>2,96</c:v>
                </c:pt>
                <c:pt idx="6">
                  <c:v>2,75</c:v>
                </c:pt>
                <c:pt idx="11">
                  <c:v>3,26</c:v>
                </c:pt>
                <c:pt idx="12">
                  <c:v>4,05</c:v>
                </c:pt>
                <c:pt idx="13">
                  <c:v>4,85</c:v>
                </c:pt>
                <c:pt idx="14">
                  <c:v>4,92</c:v>
                </c:pt>
                <c:pt idx="16">
                  <c:v>5,19</c:v>
                </c:pt>
                <c:pt idx="20">
                  <c:v>5,41</c:v>
                </c:pt>
                <c:pt idx="22">
                  <c:v>5,89</c:v>
                </c:pt>
                <c:pt idx="23">
                  <c:v>6,01</c:v>
                </c:pt>
                <c:pt idx="26">
                  <c:v>6,39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Arkusz1!$B$10:$B$37</c:f>
              <c:numCache>
                <c:formatCode>General</c:formatCode>
                <c:ptCount val="28"/>
                <c:pt idx="0">
                  <c:v>187</c:v>
                </c:pt>
                <c:pt idx="1">
                  <c:v>224</c:v>
                </c:pt>
                <c:pt idx="2">
                  <c:v>275</c:v>
                </c:pt>
                <c:pt idx="3">
                  <c:v>275</c:v>
                </c:pt>
                <c:pt idx="4">
                  <c:v>293</c:v>
                </c:pt>
                <c:pt idx="5">
                  <c:v>310</c:v>
                </c:pt>
                <c:pt idx="6">
                  <c:v>313</c:v>
                </c:pt>
                <c:pt idx="7">
                  <c:v>331</c:v>
                </c:pt>
                <c:pt idx="8">
                  <c:v>331</c:v>
                </c:pt>
                <c:pt idx="9">
                  <c:v>341</c:v>
                </c:pt>
                <c:pt idx="10">
                  <c:v>348</c:v>
                </c:pt>
                <c:pt idx="11">
                  <c:v>357</c:v>
                </c:pt>
                <c:pt idx="12">
                  <c:v>365</c:v>
                </c:pt>
                <c:pt idx="13">
                  <c:v>442</c:v>
                </c:pt>
                <c:pt idx="14">
                  <c:v>447</c:v>
                </c:pt>
                <c:pt idx="15">
                  <c:v>456</c:v>
                </c:pt>
                <c:pt idx="16">
                  <c:v>502</c:v>
                </c:pt>
                <c:pt idx="17">
                  <c:v>564</c:v>
                </c:pt>
                <c:pt idx="18">
                  <c:v>566</c:v>
                </c:pt>
                <c:pt idx="19">
                  <c:v>594</c:v>
                </c:pt>
                <c:pt idx="20">
                  <c:v>607</c:v>
                </c:pt>
                <c:pt idx="21">
                  <c:v>638</c:v>
                </c:pt>
                <c:pt idx="22">
                  <c:v>639</c:v>
                </c:pt>
                <c:pt idx="23">
                  <c:v>647</c:v>
                </c:pt>
                <c:pt idx="24">
                  <c:v>651</c:v>
                </c:pt>
                <c:pt idx="25">
                  <c:v>663</c:v>
                </c:pt>
                <c:pt idx="26">
                  <c:v>722</c:v>
                </c:pt>
                <c:pt idx="27">
                  <c:v>988</c:v>
                </c:pt>
              </c:numCache>
            </c:numRef>
          </c:cat>
          <c:val>
            <c:numRef>
              <c:f>Arkusz1!$E$10:$E$37</c:f>
              <c:numCache>
                <c:formatCode>General</c:formatCode>
                <c:ptCount val="28"/>
                <c:pt idx="0">
                  <c:v>1.92</c:v>
                </c:pt>
                <c:pt idx="2">
                  <c:v>1.94</c:v>
                </c:pt>
                <c:pt idx="3">
                  <c:v>2.62</c:v>
                </c:pt>
                <c:pt idx="5">
                  <c:v>2.96</c:v>
                </c:pt>
                <c:pt idx="6">
                  <c:v>2.75</c:v>
                </c:pt>
                <c:pt idx="11">
                  <c:v>3.26</c:v>
                </c:pt>
                <c:pt idx="12">
                  <c:v>4.05</c:v>
                </c:pt>
                <c:pt idx="13">
                  <c:v>4.8499999999999996</c:v>
                </c:pt>
                <c:pt idx="14">
                  <c:v>4.92</c:v>
                </c:pt>
                <c:pt idx="16">
                  <c:v>5.19</c:v>
                </c:pt>
                <c:pt idx="20">
                  <c:v>5.41</c:v>
                </c:pt>
                <c:pt idx="22">
                  <c:v>5.89</c:v>
                </c:pt>
                <c:pt idx="23">
                  <c:v>6.01</c:v>
                </c:pt>
                <c:pt idx="26">
                  <c:v>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7E-4A74-8E6B-EEFB3C4DC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81456"/>
        <c:axId val="1471625776"/>
      </c:lineChart>
      <c:catAx>
        <c:axId val="1426781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Irradiance  [W/m</a:t>
                </a:r>
                <a:r>
                  <a:rPr lang="pl-PL" sz="1200" baseline="30000"/>
                  <a:t>2</a:t>
                </a:r>
                <a:r>
                  <a:rPr lang="pl-PL" sz="1200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1625776"/>
        <c:crosses val="autoZero"/>
        <c:auto val="1"/>
        <c:lblAlgn val="ctr"/>
        <c:lblOffset val="100"/>
        <c:noMultiLvlLbl val="0"/>
      </c:catAx>
      <c:valAx>
        <c:axId val="14716257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I</a:t>
                </a:r>
                <a:r>
                  <a:rPr lang="pl-PL" sz="1200" baseline="-25000"/>
                  <a:t>sc</a:t>
                </a:r>
                <a:r>
                  <a:rPr lang="pl-PL" sz="1200"/>
                  <a:t>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2678145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592300962379696E-2"/>
          <c:y val="7.2859744990892539E-2"/>
          <c:w val="0.90286351706036749"/>
          <c:h val="0.8319980494241499"/>
        </c:manualLayout>
      </c:layout>
      <c:lineChart>
        <c:grouping val="standard"/>
        <c:varyColors val="0"/>
        <c:ser>
          <c:idx val="0"/>
          <c:order val="0"/>
          <c:tx>
            <c:strRef>
              <c:f>Arkusz1!$F$10:$F$37</c:f>
              <c:strCache>
                <c:ptCount val="28"/>
                <c:pt idx="0">
                  <c:v>10,29</c:v>
                </c:pt>
                <c:pt idx="2">
                  <c:v>7,06</c:v>
                </c:pt>
                <c:pt idx="3">
                  <c:v>9,53</c:v>
                </c:pt>
                <c:pt idx="5">
                  <c:v>9,57</c:v>
                </c:pt>
                <c:pt idx="6">
                  <c:v>8,8</c:v>
                </c:pt>
                <c:pt idx="11">
                  <c:v>9,16</c:v>
                </c:pt>
                <c:pt idx="12">
                  <c:v>5,61</c:v>
                </c:pt>
                <c:pt idx="13">
                  <c:v>10,99</c:v>
                </c:pt>
                <c:pt idx="14">
                  <c:v>8,78</c:v>
                </c:pt>
                <c:pt idx="16">
                  <c:v>10,34</c:v>
                </c:pt>
                <c:pt idx="20">
                  <c:v>8,92</c:v>
                </c:pt>
                <c:pt idx="22">
                  <c:v>9,23</c:v>
                </c:pt>
                <c:pt idx="23">
                  <c:v>9,3</c:v>
                </c:pt>
                <c:pt idx="26">
                  <c:v>8,82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Arkusz1!$B$10:$B$37</c:f>
              <c:numCache>
                <c:formatCode>General</c:formatCode>
                <c:ptCount val="28"/>
                <c:pt idx="0">
                  <c:v>187</c:v>
                </c:pt>
                <c:pt idx="1">
                  <c:v>224</c:v>
                </c:pt>
                <c:pt idx="2">
                  <c:v>275</c:v>
                </c:pt>
                <c:pt idx="3">
                  <c:v>275</c:v>
                </c:pt>
                <c:pt idx="4">
                  <c:v>293</c:v>
                </c:pt>
                <c:pt idx="5">
                  <c:v>310</c:v>
                </c:pt>
                <c:pt idx="6">
                  <c:v>313</c:v>
                </c:pt>
                <c:pt idx="7">
                  <c:v>331</c:v>
                </c:pt>
                <c:pt idx="8">
                  <c:v>331</c:v>
                </c:pt>
                <c:pt idx="9">
                  <c:v>341</c:v>
                </c:pt>
                <c:pt idx="10">
                  <c:v>348</c:v>
                </c:pt>
                <c:pt idx="11">
                  <c:v>357</c:v>
                </c:pt>
                <c:pt idx="12">
                  <c:v>365</c:v>
                </c:pt>
                <c:pt idx="13">
                  <c:v>442</c:v>
                </c:pt>
                <c:pt idx="14">
                  <c:v>447</c:v>
                </c:pt>
                <c:pt idx="15">
                  <c:v>456</c:v>
                </c:pt>
                <c:pt idx="16">
                  <c:v>502</c:v>
                </c:pt>
                <c:pt idx="17">
                  <c:v>564</c:v>
                </c:pt>
                <c:pt idx="18">
                  <c:v>566</c:v>
                </c:pt>
                <c:pt idx="19">
                  <c:v>594</c:v>
                </c:pt>
                <c:pt idx="20">
                  <c:v>607</c:v>
                </c:pt>
                <c:pt idx="21">
                  <c:v>638</c:v>
                </c:pt>
                <c:pt idx="22">
                  <c:v>639</c:v>
                </c:pt>
                <c:pt idx="23">
                  <c:v>647</c:v>
                </c:pt>
                <c:pt idx="24">
                  <c:v>651</c:v>
                </c:pt>
                <c:pt idx="25">
                  <c:v>663</c:v>
                </c:pt>
                <c:pt idx="26">
                  <c:v>722</c:v>
                </c:pt>
                <c:pt idx="27">
                  <c:v>988</c:v>
                </c:pt>
              </c:numCache>
            </c:numRef>
          </c:cat>
          <c:val>
            <c:numRef>
              <c:f>Arkusz1!$F$10:$F$37</c:f>
              <c:numCache>
                <c:formatCode>General</c:formatCode>
                <c:ptCount val="28"/>
                <c:pt idx="0">
                  <c:v>10.29</c:v>
                </c:pt>
                <c:pt idx="2">
                  <c:v>7.06</c:v>
                </c:pt>
                <c:pt idx="3">
                  <c:v>9.5299999999999994</c:v>
                </c:pt>
                <c:pt idx="5">
                  <c:v>9.57</c:v>
                </c:pt>
                <c:pt idx="6">
                  <c:v>8.8000000000000007</c:v>
                </c:pt>
                <c:pt idx="11">
                  <c:v>9.16</c:v>
                </c:pt>
                <c:pt idx="12">
                  <c:v>5.61</c:v>
                </c:pt>
                <c:pt idx="13">
                  <c:v>10.99</c:v>
                </c:pt>
                <c:pt idx="14">
                  <c:v>8.7799999999999994</c:v>
                </c:pt>
                <c:pt idx="16">
                  <c:v>10.34</c:v>
                </c:pt>
                <c:pt idx="20">
                  <c:v>8.92</c:v>
                </c:pt>
                <c:pt idx="22">
                  <c:v>9.23</c:v>
                </c:pt>
                <c:pt idx="23">
                  <c:v>9.3000000000000007</c:v>
                </c:pt>
                <c:pt idx="26">
                  <c:v>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4C-4AD8-9AED-F64F9BFE3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81456"/>
        <c:axId val="1471625776"/>
      </c:lineChart>
      <c:catAx>
        <c:axId val="142678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1625776"/>
        <c:crosses val="autoZero"/>
        <c:auto val="1"/>
        <c:lblAlgn val="ctr"/>
        <c:lblOffset val="100"/>
        <c:noMultiLvlLbl val="0"/>
      </c:catAx>
      <c:valAx>
        <c:axId val="14716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2678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Arkusz1!$L$51:$L$73</c:f>
              <c:numCache>
                <c:formatCode>0.000</c:formatCode>
                <c:ptCount val="23"/>
                <c:pt idx="0">
                  <c:v>0.2420142421159715</c:v>
                </c:pt>
                <c:pt idx="1">
                  <c:v>0.31769113149847095</c:v>
                </c:pt>
                <c:pt idx="2">
                  <c:v>0.32296188565697093</c:v>
                </c:pt>
                <c:pt idx="3">
                  <c:v>0.31737074148296596</c:v>
                </c:pt>
                <c:pt idx="4">
                  <c:v>0.31344366899302095</c:v>
                </c:pt>
                <c:pt idx="5">
                  <c:v>0.27406986027944114</c:v>
                </c:pt>
                <c:pt idx="6">
                  <c:v>0.32004671968190851</c:v>
                </c:pt>
                <c:pt idx="7">
                  <c:v>0.18865418719211824</c:v>
                </c:pt>
                <c:pt idx="8">
                  <c:v>0.26373990147783255</c:v>
                </c:pt>
                <c:pt idx="9">
                  <c:v>0.31644901960784311</c:v>
                </c:pt>
                <c:pt idx="10">
                  <c:v>0.32359303482587065</c:v>
                </c:pt>
                <c:pt idx="11">
                  <c:v>0.32318407960199003</c:v>
                </c:pt>
                <c:pt idx="12">
                  <c:v>0.29846456692913381</c:v>
                </c:pt>
                <c:pt idx="13">
                  <c:v>0.31777075098814228</c:v>
                </c:pt>
                <c:pt idx="14">
                  <c:v>0.24936419753086417</c:v>
                </c:pt>
                <c:pt idx="15">
                  <c:v>0.25691145332050047</c:v>
                </c:pt>
                <c:pt idx="16">
                  <c:v>0.3166277511961722</c:v>
                </c:pt>
                <c:pt idx="17">
                  <c:v>0.2270809756097561</c:v>
                </c:pt>
                <c:pt idx="18">
                  <c:v>0.2650220941402498</c:v>
                </c:pt>
                <c:pt idx="19">
                  <c:v>0.31091393826005614</c:v>
                </c:pt>
                <c:pt idx="20">
                  <c:v>0.31254705882352934</c:v>
                </c:pt>
                <c:pt idx="21">
                  <c:v>0.32209506726457399</c:v>
                </c:pt>
                <c:pt idx="22">
                  <c:v>0.31326666666666669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68-4DF3-A073-6315E7EF8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136559"/>
        <c:axId val="327263695"/>
      </c:lineChart>
      <c:catAx>
        <c:axId val="327136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7263695"/>
        <c:crosses val="autoZero"/>
        <c:auto val="1"/>
        <c:lblAlgn val="ctr"/>
        <c:lblOffset val="100"/>
        <c:noMultiLvlLbl val="0"/>
      </c:catAx>
      <c:valAx>
        <c:axId val="327263695"/>
        <c:scaling>
          <c:orientation val="minMax"/>
          <c:max val="0.35000000000000003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Power [kWh]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7136559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Arkusz1!$A$86:$A$103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Arkusz1!$C$86:$C$103</c:f>
              <c:numCache>
                <c:formatCode>0.000</c:formatCode>
                <c:ptCount val="18"/>
                <c:pt idx="0">
                  <c:v>0.2420142421159715</c:v>
                </c:pt>
                <c:pt idx="1">
                  <c:v>0.31769113149847095</c:v>
                </c:pt>
                <c:pt idx="2">
                  <c:v>0.32296188565697093</c:v>
                </c:pt>
                <c:pt idx="3">
                  <c:v>0.31737074148296596</c:v>
                </c:pt>
                <c:pt idx="4">
                  <c:v>0.31344366899302095</c:v>
                </c:pt>
                <c:pt idx="5">
                  <c:v>0.27406986027944114</c:v>
                </c:pt>
                <c:pt idx="6">
                  <c:v>0.32004671968190851</c:v>
                </c:pt>
                <c:pt idx="7">
                  <c:v>0.18865418719211824</c:v>
                </c:pt>
                <c:pt idx="8">
                  <c:v>0.26373990147783255</c:v>
                </c:pt>
                <c:pt idx="9">
                  <c:v>0.31644901960784311</c:v>
                </c:pt>
                <c:pt idx="10">
                  <c:v>0.32359303482587065</c:v>
                </c:pt>
                <c:pt idx="11">
                  <c:v>0.32318407960199003</c:v>
                </c:pt>
                <c:pt idx="12">
                  <c:v>0.29846456692913381</c:v>
                </c:pt>
                <c:pt idx="13">
                  <c:v>0.25691145332050047</c:v>
                </c:pt>
                <c:pt idx="14">
                  <c:v>0.3166277511961722</c:v>
                </c:pt>
                <c:pt idx="15">
                  <c:v>0.31091393826005614</c:v>
                </c:pt>
                <c:pt idx="16">
                  <c:v>0.31254705882352934</c:v>
                </c:pt>
                <c:pt idx="17">
                  <c:v>0.31326666666666669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3-4C3A-B3EC-D3475A74E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136559"/>
        <c:axId val="327263695"/>
      </c:lineChart>
      <c:catAx>
        <c:axId val="327136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7263695"/>
        <c:crosses val="autoZero"/>
        <c:auto val="1"/>
        <c:lblAlgn val="ctr"/>
        <c:lblOffset val="100"/>
        <c:noMultiLvlLbl val="0"/>
      </c:catAx>
      <c:valAx>
        <c:axId val="327263695"/>
        <c:scaling>
          <c:orientation val="minMax"/>
          <c:max val="0.35000000000000003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Power [kWh]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7136559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15</xdr:row>
      <xdr:rowOff>100965</xdr:rowOff>
    </xdr:from>
    <xdr:to>
      <xdr:col>17</xdr:col>
      <xdr:colOff>361950</xdr:colOff>
      <xdr:row>27</xdr:row>
      <xdr:rowOff>135255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23364CC-E563-450E-B721-190A8C6DB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83820</xdr:colOff>
      <xdr:row>29</xdr:row>
      <xdr:rowOff>121920</xdr:rowOff>
    </xdr:from>
    <xdr:to>
      <xdr:col>16</xdr:col>
      <xdr:colOff>114300</xdr:colOff>
      <xdr:row>46</xdr:row>
      <xdr:rowOff>91440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B9DE224-C516-4B2A-8CA7-442B68404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480060</xdr:colOff>
      <xdr:row>28</xdr:row>
      <xdr:rowOff>106680</xdr:rowOff>
    </xdr:from>
    <xdr:to>
      <xdr:col>24</xdr:col>
      <xdr:colOff>175260</xdr:colOff>
      <xdr:row>43</xdr:row>
      <xdr:rowOff>152400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E9C940E-B334-47A6-A383-A4652028E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274320</xdr:colOff>
      <xdr:row>52</xdr:row>
      <xdr:rowOff>49530</xdr:rowOff>
    </xdr:from>
    <xdr:to>
      <xdr:col>23</xdr:col>
      <xdr:colOff>339090</xdr:colOff>
      <xdr:row>71</xdr:row>
      <xdr:rowOff>91440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C792187-CDFC-471D-ADD0-A6E480051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85</xdr:row>
      <xdr:rowOff>0</xdr:rowOff>
    </xdr:from>
    <xdr:to>
      <xdr:col>21</xdr:col>
      <xdr:colOff>64770</xdr:colOff>
      <xdr:row>104</xdr:row>
      <xdr:rowOff>41910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7AB79E3D-FD80-42CF-8B70-036D78C16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6255-5552-4AC4-B45D-14C6B4509D92}">
  <dimension ref="A1:L103"/>
  <sheetViews>
    <sheetView tabSelected="1" topLeftCell="B7" workbookViewId="0">
      <selection activeCell="F28" sqref="F2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</v>
      </c>
      <c r="B2">
        <v>492</v>
      </c>
      <c r="C2">
        <v>18.399999999999999</v>
      </c>
      <c r="D2">
        <v>39.299999999999997</v>
      </c>
    </row>
    <row r="3" spans="1:7" x14ac:dyDescent="0.3">
      <c r="A3">
        <v>3</v>
      </c>
      <c r="B3">
        <v>330</v>
      </c>
      <c r="C3">
        <v>18.399999999999999</v>
      </c>
      <c r="E3">
        <v>2.19</v>
      </c>
      <c r="F3">
        <v>6.65</v>
      </c>
    </row>
    <row r="4" spans="1:7" x14ac:dyDescent="0.3">
      <c r="A4">
        <v>4</v>
      </c>
      <c r="B4">
        <v>753</v>
      </c>
      <c r="C4">
        <v>18.5</v>
      </c>
      <c r="D4">
        <v>39.799999999999997</v>
      </c>
    </row>
    <row r="5" spans="1:7" x14ac:dyDescent="0.3">
      <c r="A5">
        <v>5</v>
      </c>
      <c r="B5">
        <v>703</v>
      </c>
      <c r="C5">
        <v>18.8</v>
      </c>
      <c r="E5">
        <v>4.76</v>
      </c>
      <c r="F5">
        <v>6.77</v>
      </c>
      <c r="G5" t="s">
        <v>7</v>
      </c>
    </row>
    <row r="6" spans="1:7" x14ac:dyDescent="0.3">
      <c r="A6">
        <v>6</v>
      </c>
      <c r="B6">
        <v>684</v>
      </c>
      <c r="C6">
        <v>18.899999999999999</v>
      </c>
      <c r="E6">
        <v>4.54</v>
      </c>
      <c r="F6">
        <v>6.63</v>
      </c>
      <c r="G6" t="s">
        <v>8</v>
      </c>
    </row>
    <row r="7" spans="1:7" x14ac:dyDescent="0.3">
      <c r="A7">
        <v>7</v>
      </c>
      <c r="B7">
        <v>714</v>
      </c>
      <c r="C7">
        <v>18.8</v>
      </c>
      <c r="E7">
        <v>4.68</v>
      </c>
      <c r="F7">
        <v>6.55</v>
      </c>
      <c r="G7" t="s">
        <v>9</v>
      </c>
    </row>
    <row r="8" spans="1:7" x14ac:dyDescent="0.3">
      <c r="A8">
        <v>8</v>
      </c>
      <c r="B8">
        <v>654</v>
      </c>
      <c r="C8">
        <v>18.8</v>
      </c>
      <c r="E8">
        <v>4.8099999999999996</v>
      </c>
      <c r="F8">
        <v>7.34</v>
      </c>
      <c r="G8" t="s">
        <v>8</v>
      </c>
    </row>
    <row r="9" spans="1:7" x14ac:dyDescent="0.3">
      <c r="B9" t="s">
        <v>10</v>
      </c>
      <c r="D9" t="s">
        <v>14</v>
      </c>
      <c r="E9" t="s">
        <v>15</v>
      </c>
    </row>
    <row r="10" spans="1:7" x14ac:dyDescent="0.3">
      <c r="A10">
        <v>9</v>
      </c>
      <c r="B10">
        <v>187</v>
      </c>
      <c r="C10">
        <v>17.899999999999999</v>
      </c>
      <c r="E10">
        <v>1.92</v>
      </c>
      <c r="F10">
        <v>10.29</v>
      </c>
    </row>
    <row r="11" spans="1:7" x14ac:dyDescent="0.3">
      <c r="A11">
        <v>10</v>
      </c>
      <c r="B11">
        <v>224</v>
      </c>
      <c r="C11">
        <v>17.8</v>
      </c>
      <c r="D11">
        <v>37.6</v>
      </c>
    </row>
    <row r="12" spans="1:7" x14ac:dyDescent="0.3">
      <c r="A12">
        <v>11</v>
      </c>
      <c r="B12">
        <v>275</v>
      </c>
      <c r="C12">
        <v>18.399999999999999</v>
      </c>
      <c r="E12">
        <v>1.94</v>
      </c>
      <c r="F12">
        <v>7.06</v>
      </c>
    </row>
    <row r="13" spans="1:7" x14ac:dyDescent="0.3">
      <c r="A13">
        <v>12</v>
      </c>
      <c r="B13">
        <v>275</v>
      </c>
      <c r="C13">
        <v>17.899999999999999</v>
      </c>
      <c r="E13">
        <v>2.62</v>
      </c>
      <c r="F13">
        <v>9.5299999999999994</v>
      </c>
    </row>
    <row r="14" spans="1:7" x14ac:dyDescent="0.3">
      <c r="A14">
        <v>13</v>
      </c>
      <c r="B14">
        <v>293</v>
      </c>
      <c r="C14">
        <v>17.899999999999999</v>
      </c>
      <c r="D14">
        <v>38.4</v>
      </c>
    </row>
    <row r="15" spans="1:7" x14ac:dyDescent="0.3">
      <c r="A15">
        <v>14</v>
      </c>
      <c r="B15">
        <v>310</v>
      </c>
      <c r="C15">
        <v>17.899999999999999</v>
      </c>
      <c r="E15">
        <v>2.96</v>
      </c>
      <c r="F15">
        <v>9.57</v>
      </c>
    </row>
    <row r="16" spans="1:7" x14ac:dyDescent="0.3">
      <c r="A16">
        <v>15</v>
      </c>
      <c r="B16">
        <v>313</v>
      </c>
      <c r="C16">
        <v>17.8</v>
      </c>
      <c r="E16">
        <v>2.75</v>
      </c>
      <c r="F16">
        <v>8.8000000000000007</v>
      </c>
    </row>
    <row r="17" spans="1:6" x14ac:dyDescent="0.3">
      <c r="A17">
        <v>16</v>
      </c>
      <c r="B17">
        <v>331</v>
      </c>
      <c r="C17">
        <v>18</v>
      </c>
      <c r="D17">
        <v>38.200000000000003</v>
      </c>
    </row>
    <row r="18" spans="1:6" x14ac:dyDescent="0.3">
      <c r="A18">
        <v>17</v>
      </c>
      <c r="B18">
        <v>331</v>
      </c>
      <c r="C18">
        <v>17.8</v>
      </c>
      <c r="D18">
        <v>38</v>
      </c>
    </row>
    <row r="19" spans="1:6" x14ac:dyDescent="0.3">
      <c r="A19">
        <v>19</v>
      </c>
      <c r="B19">
        <v>341</v>
      </c>
      <c r="C19">
        <v>17.899999999999999</v>
      </c>
      <c r="D19">
        <v>38.200000000000003</v>
      </c>
    </row>
    <row r="20" spans="1:6" x14ac:dyDescent="0.3">
      <c r="A20">
        <v>20</v>
      </c>
      <c r="B20">
        <v>348</v>
      </c>
      <c r="C20">
        <v>17.899999999999999</v>
      </c>
      <c r="D20">
        <v>38</v>
      </c>
    </row>
    <row r="21" spans="1:6" x14ac:dyDescent="0.3">
      <c r="A21">
        <v>21</v>
      </c>
      <c r="B21">
        <v>357</v>
      </c>
      <c r="C21">
        <v>17.899999999999999</v>
      </c>
      <c r="E21">
        <v>3.26</v>
      </c>
      <c r="F21">
        <v>9.16</v>
      </c>
    </row>
    <row r="22" spans="1:6" x14ac:dyDescent="0.3">
      <c r="A22">
        <v>23</v>
      </c>
      <c r="B22">
        <v>365</v>
      </c>
      <c r="C22">
        <v>18.7</v>
      </c>
      <c r="E22">
        <v>4.05</v>
      </c>
      <c r="F22">
        <v>5.61</v>
      </c>
    </row>
    <row r="23" spans="1:6" x14ac:dyDescent="0.3">
      <c r="A23">
        <v>24</v>
      </c>
      <c r="B23">
        <v>442</v>
      </c>
      <c r="C23">
        <v>18</v>
      </c>
      <c r="E23">
        <v>4.8499999999999996</v>
      </c>
      <c r="F23">
        <v>10.99</v>
      </c>
    </row>
    <row r="24" spans="1:6" x14ac:dyDescent="0.3">
      <c r="A24">
        <v>25</v>
      </c>
      <c r="B24">
        <v>447</v>
      </c>
      <c r="C24">
        <v>18.100000000000001</v>
      </c>
      <c r="E24">
        <v>4.92</v>
      </c>
      <c r="F24">
        <v>8.7799999999999994</v>
      </c>
    </row>
    <row r="25" spans="1:6" x14ac:dyDescent="0.3">
      <c r="A25">
        <v>26</v>
      </c>
      <c r="B25">
        <v>456</v>
      </c>
      <c r="C25">
        <v>18</v>
      </c>
      <c r="D25">
        <v>38.9</v>
      </c>
    </row>
    <row r="26" spans="1:6" x14ac:dyDescent="0.3">
      <c r="A26">
        <v>27</v>
      </c>
      <c r="B26">
        <v>502</v>
      </c>
      <c r="C26">
        <v>18</v>
      </c>
      <c r="E26">
        <v>5.19</v>
      </c>
      <c r="F26">
        <v>10.34</v>
      </c>
    </row>
    <row r="27" spans="1:6" x14ac:dyDescent="0.3">
      <c r="A27">
        <v>29</v>
      </c>
      <c r="B27">
        <v>564</v>
      </c>
      <c r="C27">
        <v>18.399999999999999</v>
      </c>
      <c r="D27">
        <v>39.1</v>
      </c>
    </row>
    <row r="28" spans="1:6" x14ac:dyDescent="0.3">
      <c r="A28">
        <v>30</v>
      </c>
      <c r="B28">
        <v>566</v>
      </c>
      <c r="C28">
        <v>18</v>
      </c>
      <c r="D28">
        <v>39.4</v>
      </c>
    </row>
    <row r="29" spans="1:6" x14ac:dyDescent="0.3">
      <c r="A29">
        <v>31</v>
      </c>
      <c r="B29">
        <v>594</v>
      </c>
      <c r="C29">
        <v>18.100000000000001</v>
      </c>
      <c r="D29">
        <v>39.4</v>
      </c>
    </row>
    <row r="30" spans="1:6" x14ac:dyDescent="0.3">
      <c r="A30">
        <v>32</v>
      </c>
      <c r="B30">
        <v>607</v>
      </c>
      <c r="C30">
        <v>18.5</v>
      </c>
      <c r="E30">
        <v>5.41</v>
      </c>
      <c r="F30">
        <v>8.92</v>
      </c>
    </row>
    <row r="31" spans="1:6" x14ac:dyDescent="0.3">
      <c r="A31">
        <v>36</v>
      </c>
      <c r="B31">
        <v>638</v>
      </c>
      <c r="C31">
        <v>18.399999999999999</v>
      </c>
      <c r="D31">
        <v>39.299999999999997</v>
      </c>
    </row>
    <row r="32" spans="1:6" x14ac:dyDescent="0.3">
      <c r="A32">
        <v>37</v>
      </c>
      <c r="B32">
        <v>639</v>
      </c>
      <c r="C32">
        <v>18.399999999999999</v>
      </c>
      <c r="E32">
        <v>5.89</v>
      </c>
      <c r="F32">
        <v>9.23</v>
      </c>
    </row>
    <row r="33" spans="1:7" x14ac:dyDescent="0.3">
      <c r="A33">
        <v>38</v>
      </c>
      <c r="B33">
        <v>647</v>
      </c>
      <c r="C33">
        <v>17.899999999999999</v>
      </c>
      <c r="E33">
        <v>6.01</v>
      </c>
      <c r="F33">
        <v>9.3000000000000007</v>
      </c>
    </row>
    <row r="34" spans="1:7" x14ac:dyDescent="0.3">
      <c r="A34">
        <v>39</v>
      </c>
      <c r="B34">
        <v>651</v>
      </c>
      <c r="C34">
        <v>18</v>
      </c>
      <c r="D34">
        <v>39.5</v>
      </c>
    </row>
    <row r="35" spans="1:7" x14ac:dyDescent="0.3">
      <c r="A35">
        <v>40</v>
      </c>
      <c r="B35">
        <v>663</v>
      </c>
      <c r="C35">
        <v>18.100000000000001</v>
      </c>
      <c r="D35">
        <v>39.1</v>
      </c>
    </row>
    <row r="36" spans="1:7" x14ac:dyDescent="0.3">
      <c r="A36">
        <v>41</v>
      </c>
      <c r="B36">
        <v>722</v>
      </c>
      <c r="C36">
        <v>17.5</v>
      </c>
      <c r="E36">
        <v>6.39</v>
      </c>
      <c r="F36">
        <v>8.82</v>
      </c>
    </row>
    <row r="37" spans="1:7" x14ac:dyDescent="0.3">
      <c r="A37">
        <v>42</v>
      </c>
      <c r="B37">
        <v>988</v>
      </c>
      <c r="C37">
        <v>17.3</v>
      </c>
      <c r="D37">
        <v>39.299999999999997</v>
      </c>
    </row>
    <row r="39" spans="1:7" x14ac:dyDescent="0.3">
      <c r="B39">
        <v>336</v>
      </c>
      <c r="C39">
        <v>18.399999999999999</v>
      </c>
      <c r="E39">
        <v>2.85</v>
      </c>
      <c r="F39">
        <v>8.4700000000000006</v>
      </c>
      <c r="G39" t="s">
        <v>13</v>
      </c>
    </row>
    <row r="40" spans="1:7" x14ac:dyDescent="0.3">
      <c r="B40">
        <v>360</v>
      </c>
      <c r="C40">
        <v>18.2</v>
      </c>
      <c r="D40">
        <v>37.799999999999997</v>
      </c>
      <c r="G40" t="s">
        <v>13</v>
      </c>
    </row>
    <row r="41" spans="1:7" x14ac:dyDescent="0.3">
      <c r="B41">
        <v>519</v>
      </c>
      <c r="C41">
        <v>18.8</v>
      </c>
      <c r="E41">
        <v>4.12</v>
      </c>
      <c r="F41">
        <v>7.94</v>
      </c>
      <c r="G41" t="s">
        <v>12</v>
      </c>
    </row>
    <row r="42" spans="1:7" x14ac:dyDescent="0.3">
      <c r="B42">
        <v>613</v>
      </c>
      <c r="C42">
        <v>18.600000000000001</v>
      </c>
      <c r="E42">
        <v>3.55</v>
      </c>
      <c r="F42">
        <v>5.78</v>
      </c>
      <c r="G42" t="s">
        <v>11</v>
      </c>
    </row>
    <row r="43" spans="1:7" x14ac:dyDescent="0.3">
      <c r="B43">
        <v>629</v>
      </c>
      <c r="C43">
        <v>18.3</v>
      </c>
      <c r="E43">
        <v>5.3</v>
      </c>
      <c r="F43">
        <v>8.43</v>
      </c>
      <c r="G43" t="s">
        <v>13</v>
      </c>
    </row>
    <row r="44" spans="1:7" x14ac:dyDescent="0.3">
      <c r="B44">
        <v>631</v>
      </c>
      <c r="C44">
        <v>18.7</v>
      </c>
      <c r="D44">
        <v>38.299999999999997</v>
      </c>
      <c r="G44" t="s">
        <v>11</v>
      </c>
    </row>
    <row r="50" spans="1:12" x14ac:dyDescent="0.3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K50" t="s">
        <v>37</v>
      </c>
      <c r="L50" t="s">
        <v>38</v>
      </c>
    </row>
    <row r="51" spans="1:12" x14ac:dyDescent="0.3">
      <c r="A51">
        <v>1</v>
      </c>
      <c r="B51">
        <v>983</v>
      </c>
      <c r="C51">
        <v>23.1</v>
      </c>
      <c r="D51">
        <v>39</v>
      </c>
      <c r="E51">
        <v>6.1</v>
      </c>
      <c r="F51">
        <v>6.19</v>
      </c>
      <c r="G51" t="s">
        <v>39</v>
      </c>
      <c r="K51" s="1">
        <f>D51*E51</f>
        <v>237.89999999999998</v>
      </c>
      <c r="L51" s="2">
        <f>K51/B51</f>
        <v>0.2420142421159715</v>
      </c>
    </row>
    <row r="52" spans="1:12" x14ac:dyDescent="0.3">
      <c r="A52">
        <v>2</v>
      </c>
      <c r="B52">
        <v>981</v>
      </c>
      <c r="C52">
        <v>23.2</v>
      </c>
      <c r="D52">
        <v>39.5</v>
      </c>
      <c r="E52">
        <v>7.89</v>
      </c>
      <c r="F52">
        <v>8.02</v>
      </c>
      <c r="G52" t="s">
        <v>16</v>
      </c>
      <c r="K52" s="1">
        <f t="shared" ref="K52:K73" si="0">D52*E52</f>
        <v>311.65499999999997</v>
      </c>
      <c r="L52" s="2">
        <f t="shared" ref="L52:L73" si="1">K52/B52</f>
        <v>0.31769113149847095</v>
      </c>
    </row>
    <row r="53" spans="1:12" x14ac:dyDescent="0.3">
      <c r="A53">
        <v>3</v>
      </c>
      <c r="B53">
        <v>997</v>
      </c>
      <c r="C53">
        <v>22.6</v>
      </c>
      <c r="D53">
        <v>39.9</v>
      </c>
      <c r="E53">
        <v>8.07</v>
      </c>
      <c r="F53">
        <v>8.07</v>
      </c>
      <c r="G53" t="s">
        <v>17</v>
      </c>
      <c r="K53" s="1">
        <f t="shared" si="0"/>
        <v>321.99299999999999</v>
      </c>
      <c r="L53" s="2">
        <f t="shared" si="1"/>
        <v>0.32296188565697093</v>
      </c>
    </row>
    <row r="54" spans="1:12" x14ac:dyDescent="0.3">
      <c r="A54">
        <v>4</v>
      </c>
      <c r="B54">
        <v>998</v>
      </c>
      <c r="C54">
        <v>22.4</v>
      </c>
      <c r="D54">
        <v>39.200000000000003</v>
      </c>
      <c r="E54">
        <v>8.08</v>
      </c>
      <c r="F54">
        <v>8.06</v>
      </c>
      <c r="G54" t="s">
        <v>18</v>
      </c>
      <c r="K54" s="1">
        <f t="shared" si="0"/>
        <v>316.73600000000005</v>
      </c>
      <c r="L54" s="2">
        <f t="shared" si="1"/>
        <v>0.31737074148296596</v>
      </c>
    </row>
    <row r="55" spans="1:12" x14ac:dyDescent="0.3">
      <c r="A55">
        <v>5</v>
      </c>
      <c r="B55">
        <v>1003</v>
      </c>
      <c r="C55">
        <v>22.6</v>
      </c>
      <c r="D55">
        <v>39.200000000000003</v>
      </c>
      <c r="E55">
        <v>8.02</v>
      </c>
      <c r="F55">
        <v>8.14</v>
      </c>
      <c r="G55" t="s">
        <v>19</v>
      </c>
      <c r="K55" s="1">
        <f t="shared" si="0"/>
        <v>314.38400000000001</v>
      </c>
      <c r="L55" s="2">
        <f t="shared" si="1"/>
        <v>0.31344366899302095</v>
      </c>
    </row>
    <row r="56" spans="1:12" x14ac:dyDescent="0.3">
      <c r="A56">
        <v>6</v>
      </c>
      <c r="B56">
        <v>1002</v>
      </c>
      <c r="C56">
        <v>22.5</v>
      </c>
      <c r="D56">
        <v>39.4</v>
      </c>
      <c r="E56">
        <v>6.97</v>
      </c>
      <c r="F56">
        <v>6.93</v>
      </c>
      <c r="G56" t="s">
        <v>20</v>
      </c>
      <c r="K56" s="1">
        <f t="shared" si="0"/>
        <v>274.61799999999999</v>
      </c>
      <c r="L56" s="2">
        <f t="shared" si="1"/>
        <v>0.27406986027944114</v>
      </c>
    </row>
    <row r="57" spans="1:12" x14ac:dyDescent="0.3">
      <c r="A57">
        <v>7</v>
      </c>
      <c r="B57">
        <v>1006</v>
      </c>
      <c r="C57">
        <v>22.4</v>
      </c>
      <c r="D57">
        <v>39.700000000000003</v>
      </c>
      <c r="E57">
        <v>8.11</v>
      </c>
      <c r="F57">
        <v>8.0299999999999994</v>
      </c>
      <c r="G57" t="s">
        <v>21</v>
      </c>
      <c r="K57" s="1">
        <f t="shared" si="0"/>
        <v>321.96699999999998</v>
      </c>
      <c r="L57" s="2">
        <f t="shared" si="1"/>
        <v>0.32004671968190851</v>
      </c>
    </row>
    <row r="58" spans="1:12" x14ac:dyDescent="0.3">
      <c r="A58">
        <v>8</v>
      </c>
      <c r="B58">
        <v>1015</v>
      </c>
      <c r="C58">
        <v>22.9</v>
      </c>
      <c r="D58">
        <v>39.4</v>
      </c>
      <c r="E58">
        <v>4.8600000000000003</v>
      </c>
      <c r="F58">
        <v>4.7699999999999996</v>
      </c>
      <c r="G58" t="s">
        <v>11</v>
      </c>
      <c r="K58" s="1">
        <f t="shared" si="0"/>
        <v>191.48400000000001</v>
      </c>
      <c r="L58" s="2">
        <f t="shared" si="1"/>
        <v>0.18865418719211824</v>
      </c>
    </row>
    <row r="59" spans="1:12" x14ac:dyDescent="0.3">
      <c r="A59">
        <v>9</v>
      </c>
      <c r="B59">
        <v>1015</v>
      </c>
      <c r="C59">
        <v>22.8</v>
      </c>
      <c r="D59">
        <v>39.6</v>
      </c>
      <c r="E59">
        <v>6.76</v>
      </c>
      <c r="F59">
        <v>6.64</v>
      </c>
      <c r="G59" t="s">
        <v>22</v>
      </c>
      <c r="K59" s="1">
        <f t="shared" si="0"/>
        <v>267.69600000000003</v>
      </c>
      <c r="L59" s="2">
        <f t="shared" si="1"/>
        <v>0.26373990147783255</v>
      </c>
    </row>
    <row r="60" spans="1:12" x14ac:dyDescent="0.3">
      <c r="A60">
        <v>10</v>
      </c>
      <c r="B60">
        <v>1020</v>
      </c>
      <c r="C60">
        <v>23.2</v>
      </c>
      <c r="D60">
        <v>39.799999999999997</v>
      </c>
      <c r="E60">
        <v>8.11</v>
      </c>
      <c r="F60">
        <v>7.91</v>
      </c>
      <c r="G60" t="s">
        <v>23</v>
      </c>
      <c r="K60" s="1">
        <f t="shared" si="0"/>
        <v>322.77799999999996</v>
      </c>
      <c r="L60" s="2">
        <f t="shared" si="1"/>
        <v>0.31644901960784311</v>
      </c>
    </row>
    <row r="61" spans="1:12" x14ac:dyDescent="0.3">
      <c r="A61">
        <v>11</v>
      </c>
      <c r="B61">
        <v>1005</v>
      </c>
      <c r="C61">
        <v>23.2</v>
      </c>
      <c r="D61">
        <v>40.1</v>
      </c>
      <c r="E61">
        <v>8.11</v>
      </c>
      <c r="F61">
        <v>8.0399999999999991</v>
      </c>
      <c r="G61" t="s">
        <v>24</v>
      </c>
      <c r="K61" s="1">
        <f t="shared" si="0"/>
        <v>325.21100000000001</v>
      </c>
      <c r="L61" s="2">
        <f t="shared" si="1"/>
        <v>0.32359303482587065</v>
      </c>
    </row>
    <row r="62" spans="1:12" x14ac:dyDescent="0.3">
      <c r="A62">
        <v>12</v>
      </c>
      <c r="B62">
        <v>1005</v>
      </c>
      <c r="C62">
        <v>23.2</v>
      </c>
      <c r="D62">
        <v>40</v>
      </c>
      <c r="E62">
        <v>8.1199999999999992</v>
      </c>
      <c r="F62">
        <v>8.0500000000000007</v>
      </c>
      <c r="G62" t="s">
        <v>25</v>
      </c>
      <c r="K62" s="1">
        <f t="shared" si="0"/>
        <v>324.79999999999995</v>
      </c>
      <c r="L62" s="2">
        <f t="shared" si="1"/>
        <v>0.32318407960199003</v>
      </c>
    </row>
    <row r="63" spans="1:12" x14ac:dyDescent="0.3">
      <c r="A63">
        <v>13</v>
      </c>
      <c r="B63">
        <v>1016</v>
      </c>
      <c r="C63">
        <v>23.1</v>
      </c>
      <c r="D63">
        <v>39.9</v>
      </c>
      <c r="E63">
        <v>7.6</v>
      </c>
      <c r="F63">
        <v>7.44</v>
      </c>
      <c r="G63" t="s">
        <v>26</v>
      </c>
      <c r="K63" s="1">
        <f t="shared" si="0"/>
        <v>303.23999999999995</v>
      </c>
      <c r="L63" s="2">
        <f t="shared" si="1"/>
        <v>0.29846456692913381</v>
      </c>
    </row>
    <row r="64" spans="1:12" x14ac:dyDescent="0.3">
      <c r="A64">
        <v>14</v>
      </c>
      <c r="B64">
        <v>1012</v>
      </c>
      <c r="C64">
        <v>23</v>
      </c>
      <c r="D64">
        <v>39.799999999999997</v>
      </c>
      <c r="E64">
        <v>8.08</v>
      </c>
      <c r="F64">
        <v>7.95</v>
      </c>
      <c r="G64" t="s">
        <v>27</v>
      </c>
      <c r="K64" s="1">
        <f t="shared" si="0"/>
        <v>321.584</v>
      </c>
      <c r="L64" s="2">
        <f t="shared" si="1"/>
        <v>0.31777075098814228</v>
      </c>
    </row>
    <row r="65" spans="1:12" x14ac:dyDescent="0.3">
      <c r="A65">
        <v>15</v>
      </c>
      <c r="B65">
        <v>972</v>
      </c>
      <c r="C65">
        <v>23</v>
      </c>
      <c r="D65">
        <v>39.799999999999997</v>
      </c>
      <c r="E65">
        <v>6.09</v>
      </c>
      <c r="F65">
        <v>6.23</v>
      </c>
      <c r="G65" t="s">
        <v>28</v>
      </c>
      <c r="K65" s="1">
        <f t="shared" si="0"/>
        <v>242.38199999999998</v>
      </c>
      <c r="L65" s="2">
        <f t="shared" si="1"/>
        <v>0.24936419753086417</v>
      </c>
    </row>
    <row r="66" spans="1:12" x14ac:dyDescent="0.3">
      <c r="A66">
        <v>16</v>
      </c>
      <c r="B66">
        <v>1039</v>
      </c>
      <c r="C66">
        <v>23.6</v>
      </c>
      <c r="D66">
        <v>39.9</v>
      </c>
      <c r="E66">
        <v>6.69</v>
      </c>
      <c r="F66">
        <v>6.39</v>
      </c>
      <c r="G66" t="s">
        <v>29</v>
      </c>
      <c r="K66" s="1">
        <f t="shared" si="0"/>
        <v>266.93099999999998</v>
      </c>
      <c r="L66" s="2">
        <f t="shared" si="1"/>
        <v>0.25691145332050047</v>
      </c>
    </row>
    <row r="67" spans="1:12" x14ac:dyDescent="0.3">
      <c r="A67">
        <v>17</v>
      </c>
      <c r="B67">
        <v>1045</v>
      </c>
      <c r="C67">
        <v>23.5</v>
      </c>
      <c r="D67">
        <v>40.4</v>
      </c>
      <c r="E67">
        <v>8.19</v>
      </c>
      <c r="F67">
        <v>7.8</v>
      </c>
      <c r="G67" t="s">
        <v>30</v>
      </c>
      <c r="K67" s="1">
        <f t="shared" si="0"/>
        <v>330.87599999999998</v>
      </c>
      <c r="L67" s="2">
        <f t="shared" si="1"/>
        <v>0.3166277511961722</v>
      </c>
    </row>
    <row r="68" spans="1:12" x14ac:dyDescent="0.3">
      <c r="A68">
        <v>18</v>
      </c>
      <c r="B68">
        <v>1025</v>
      </c>
      <c r="C68">
        <v>23.4</v>
      </c>
      <c r="D68">
        <v>40.200000000000003</v>
      </c>
      <c r="E68">
        <v>5.79</v>
      </c>
      <c r="F68">
        <v>5.62</v>
      </c>
      <c r="G68" t="s">
        <v>31</v>
      </c>
      <c r="K68" s="1">
        <f t="shared" si="0"/>
        <v>232.75800000000001</v>
      </c>
      <c r="L68" s="2">
        <f t="shared" si="1"/>
        <v>0.2270809756097561</v>
      </c>
    </row>
    <row r="69" spans="1:12" x14ac:dyDescent="0.3">
      <c r="A69">
        <v>19</v>
      </c>
      <c r="B69">
        <v>1041</v>
      </c>
      <c r="C69">
        <v>23.7</v>
      </c>
      <c r="D69">
        <v>40.1</v>
      </c>
      <c r="E69">
        <v>6.88</v>
      </c>
      <c r="F69">
        <v>6.57</v>
      </c>
      <c r="G69" t="s">
        <v>32</v>
      </c>
      <c r="K69" s="1">
        <f t="shared" si="0"/>
        <v>275.88800000000003</v>
      </c>
      <c r="L69" s="2">
        <f t="shared" si="1"/>
        <v>0.2650220941402498</v>
      </c>
    </row>
    <row r="70" spans="1:12" x14ac:dyDescent="0.3">
      <c r="A70">
        <v>20</v>
      </c>
      <c r="B70">
        <v>1069</v>
      </c>
      <c r="C70">
        <v>23.1</v>
      </c>
      <c r="D70">
        <v>39.9</v>
      </c>
      <c r="E70">
        <v>8.33</v>
      </c>
      <c r="F70">
        <v>7.76</v>
      </c>
      <c r="G70" t="s">
        <v>33</v>
      </c>
      <c r="K70" s="1">
        <f t="shared" si="0"/>
        <v>332.36700000000002</v>
      </c>
      <c r="L70" s="2">
        <f t="shared" si="1"/>
        <v>0.31091393826005614</v>
      </c>
    </row>
    <row r="71" spans="1:12" x14ac:dyDescent="0.3">
      <c r="A71">
        <v>21</v>
      </c>
      <c r="B71">
        <v>1020</v>
      </c>
      <c r="C71">
        <v>23.1</v>
      </c>
      <c r="D71">
        <v>39.799999999999997</v>
      </c>
      <c r="E71">
        <v>8.01</v>
      </c>
      <c r="F71">
        <v>7.82</v>
      </c>
      <c r="G71" t="s">
        <v>34</v>
      </c>
      <c r="K71" s="1">
        <f t="shared" si="0"/>
        <v>318.79799999999994</v>
      </c>
      <c r="L71" s="2">
        <f t="shared" si="1"/>
        <v>0.31254705882352934</v>
      </c>
    </row>
    <row r="72" spans="1:12" x14ac:dyDescent="0.3">
      <c r="A72">
        <v>22</v>
      </c>
      <c r="B72">
        <v>1115</v>
      </c>
      <c r="C72">
        <v>25.5</v>
      </c>
      <c r="D72">
        <v>38.700000000000003</v>
      </c>
      <c r="E72">
        <v>9.2799999999999994</v>
      </c>
      <c r="F72">
        <v>8.2799999999999994</v>
      </c>
      <c r="G72" t="s">
        <v>35</v>
      </c>
      <c r="K72" s="1">
        <f t="shared" si="0"/>
        <v>359.13600000000002</v>
      </c>
      <c r="L72" s="2">
        <f t="shared" si="1"/>
        <v>0.32209506726457399</v>
      </c>
    </row>
    <row r="73" spans="1:12" x14ac:dyDescent="0.3">
      <c r="A73">
        <v>23</v>
      </c>
      <c r="B73">
        <v>1080</v>
      </c>
      <c r="C73">
        <v>25.3</v>
      </c>
      <c r="D73">
        <v>38.1</v>
      </c>
      <c r="E73">
        <v>8.8800000000000008</v>
      </c>
      <c r="F73">
        <v>8.17</v>
      </c>
      <c r="G73" t="s">
        <v>36</v>
      </c>
      <c r="K73" s="1">
        <f t="shared" si="0"/>
        <v>338.32800000000003</v>
      </c>
      <c r="L73" s="2">
        <f t="shared" si="1"/>
        <v>0.31326666666666669</v>
      </c>
    </row>
    <row r="85" spans="1:4" x14ac:dyDescent="0.3">
      <c r="A85" t="s">
        <v>0</v>
      </c>
      <c r="B85" t="s">
        <v>1</v>
      </c>
      <c r="C85" t="s">
        <v>40</v>
      </c>
      <c r="D85" t="s">
        <v>41</v>
      </c>
    </row>
    <row r="86" spans="1:4" x14ac:dyDescent="0.3">
      <c r="A86">
        <v>1</v>
      </c>
      <c r="B86">
        <v>983</v>
      </c>
      <c r="C86" s="2">
        <v>0.2420142421159715</v>
      </c>
      <c r="D86" t="s">
        <v>42</v>
      </c>
    </row>
    <row r="87" spans="1:4" x14ac:dyDescent="0.3">
      <c r="A87">
        <v>2</v>
      </c>
      <c r="B87">
        <v>981</v>
      </c>
      <c r="C87" s="2">
        <v>0.31769113149847095</v>
      </c>
      <c r="D87" t="s">
        <v>43</v>
      </c>
    </row>
    <row r="88" spans="1:4" x14ac:dyDescent="0.3">
      <c r="A88">
        <v>3</v>
      </c>
      <c r="B88">
        <v>997</v>
      </c>
      <c r="C88" s="2">
        <v>0.32296188565697093</v>
      </c>
      <c r="D88" t="s">
        <v>54</v>
      </c>
    </row>
    <row r="89" spans="1:4" x14ac:dyDescent="0.3">
      <c r="A89">
        <v>4</v>
      </c>
      <c r="B89">
        <v>998</v>
      </c>
      <c r="C89" s="2">
        <v>0.31737074148296596</v>
      </c>
      <c r="D89" t="s">
        <v>44</v>
      </c>
    </row>
    <row r="90" spans="1:4" x14ac:dyDescent="0.3">
      <c r="A90">
        <v>5</v>
      </c>
      <c r="B90">
        <v>1003</v>
      </c>
      <c r="C90" s="2">
        <v>0.31344366899302095</v>
      </c>
      <c r="D90" t="s">
        <v>55</v>
      </c>
    </row>
    <row r="91" spans="1:4" x14ac:dyDescent="0.3">
      <c r="A91">
        <v>6</v>
      </c>
      <c r="B91">
        <v>1002</v>
      </c>
      <c r="C91" s="2">
        <v>0.27406986027944114</v>
      </c>
      <c r="D91" t="s">
        <v>20</v>
      </c>
    </row>
    <row r="92" spans="1:4" x14ac:dyDescent="0.3">
      <c r="A92">
        <v>7</v>
      </c>
      <c r="B92">
        <v>1006</v>
      </c>
      <c r="C92" s="2">
        <v>0.32004671968190851</v>
      </c>
      <c r="D92" t="s">
        <v>45</v>
      </c>
    </row>
    <row r="93" spans="1:4" x14ac:dyDescent="0.3">
      <c r="A93">
        <v>8</v>
      </c>
      <c r="B93">
        <v>1015</v>
      </c>
      <c r="C93" s="2">
        <v>0.18865418719211824</v>
      </c>
      <c r="D93" t="s">
        <v>47</v>
      </c>
    </row>
    <row r="94" spans="1:4" x14ac:dyDescent="0.3">
      <c r="A94">
        <v>9</v>
      </c>
      <c r="B94">
        <v>1015</v>
      </c>
      <c r="C94" s="2">
        <v>0.26373990147783255</v>
      </c>
      <c r="D94" t="s">
        <v>46</v>
      </c>
    </row>
    <row r="95" spans="1:4" x14ac:dyDescent="0.3">
      <c r="A95">
        <v>10</v>
      </c>
      <c r="B95">
        <v>1020</v>
      </c>
      <c r="C95" s="2">
        <v>0.31644901960784311</v>
      </c>
      <c r="D95" t="s">
        <v>48</v>
      </c>
    </row>
    <row r="96" spans="1:4" x14ac:dyDescent="0.3">
      <c r="A96">
        <v>11</v>
      </c>
      <c r="B96">
        <v>1005</v>
      </c>
      <c r="C96" s="2">
        <v>0.32359303482587065</v>
      </c>
      <c r="D96" t="s">
        <v>49</v>
      </c>
    </row>
    <row r="97" spans="1:4" x14ac:dyDescent="0.3">
      <c r="A97">
        <v>12</v>
      </c>
      <c r="B97">
        <v>1005</v>
      </c>
      <c r="C97" s="2">
        <v>0.32318407960199003</v>
      </c>
      <c r="D97" t="s">
        <v>50</v>
      </c>
    </row>
    <row r="98" spans="1:4" x14ac:dyDescent="0.3">
      <c r="A98">
        <v>13</v>
      </c>
      <c r="B98">
        <v>1016</v>
      </c>
      <c r="C98" s="2">
        <v>0.29846456692913381</v>
      </c>
      <c r="D98" t="s">
        <v>51</v>
      </c>
    </row>
    <row r="99" spans="1:4" x14ac:dyDescent="0.3">
      <c r="A99">
        <v>14</v>
      </c>
      <c r="B99">
        <v>1039</v>
      </c>
      <c r="C99" s="2">
        <v>0.25691145332050047</v>
      </c>
      <c r="D99" t="s">
        <v>52</v>
      </c>
    </row>
    <row r="100" spans="1:4" x14ac:dyDescent="0.3">
      <c r="A100">
        <v>15</v>
      </c>
      <c r="B100">
        <v>1045</v>
      </c>
      <c r="C100" s="2">
        <v>0.3166277511961722</v>
      </c>
      <c r="D100" t="s">
        <v>30</v>
      </c>
    </row>
    <row r="101" spans="1:4" x14ac:dyDescent="0.3">
      <c r="A101">
        <v>16</v>
      </c>
      <c r="B101">
        <v>1069</v>
      </c>
      <c r="C101" s="2">
        <v>0.31091393826005614</v>
      </c>
      <c r="D101" t="s">
        <v>33</v>
      </c>
    </row>
    <row r="102" spans="1:4" x14ac:dyDescent="0.3">
      <c r="A102">
        <v>17</v>
      </c>
      <c r="B102">
        <v>1020</v>
      </c>
      <c r="C102" s="2">
        <v>0.31254705882352934</v>
      </c>
      <c r="D102" t="s">
        <v>34</v>
      </c>
    </row>
    <row r="103" spans="1:4" x14ac:dyDescent="0.3">
      <c r="A103">
        <v>18</v>
      </c>
      <c r="B103">
        <v>1080</v>
      </c>
      <c r="C103" s="2">
        <v>0.31326666666666669</v>
      </c>
      <c r="D103" t="s">
        <v>53</v>
      </c>
    </row>
  </sheetData>
  <sortState ref="B10:G37">
    <sortCondition ref="B10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komputer</dc:creator>
  <cp:lastModifiedBy>komputer</cp:lastModifiedBy>
  <dcterms:created xsi:type="dcterms:W3CDTF">2025-03-28T13:42:07Z</dcterms:created>
  <dcterms:modified xsi:type="dcterms:W3CDTF">2025-04-09T08:34:44Z</dcterms:modified>
</cp:coreProperties>
</file>